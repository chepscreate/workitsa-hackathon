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tshep\Projects 26\WorkitEarnit\"/>
    </mc:Choice>
  </mc:AlternateContent>
  <xr:revisionPtr revIDLastSave="0" documentId="13_ncr:1_{747674D3-09AA-4C1A-9534-1F1CC48C7BA2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Assumptions" sheetId="1" r:id="rId1"/>
    <sheet name="Cash Flow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M26" i="2"/>
  <c r="L26" i="2"/>
  <c r="K26" i="2"/>
  <c r="J26" i="2"/>
  <c r="J28" i="2" s="1"/>
  <c r="I26" i="2"/>
  <c r="H26" i="2"/>
  <c r="G26" i="2"/>
  <c r="F26" i="2"/>
  <c r="F28" i="2" s="1"/>
  <c r="E26" i="2"/>
  <c r="D26" i="2"/>
  <c r="C26" i="2"/>
  <c r="B26" i="2"/>
  <c r="N26" i="2" s="1"/>
  <c r="N25" i="2"/>
  <c r="N24" i="2"/>
  <c r="N23" i="2"/>
  <c r="N22" i="2"/>
  <c r="B15" i="3" s="1"/>
  <c r="N21" i="2"/>
  <c r="N20" i="2"/>
  <c r="B14" i="3" s="1"/>
  <c r="N19" i="2"/>
  <c r="N18" i="2"/>
  <c r="B13" i="3" s="1"/>
  <c r="N17" i="2"/>
  <c r="N16" i="2"/>
  <c r="N15" i="2"/>
  <c r="B12" i="3" s="1"/>
  <c r="N14" i="2"/>
  <c r="N13" i="2"/>
  <c r="M10" i="2"/>
  <c r="M28" i="2" s="1"/>
  <c r="L10" i="2"/>
  <c r="L28" i="2" s="1"/>
  <c r="K10" i="2"/>
  <c r="K28" i="2" s="1"/>
  <c r="J10" i="2"/>
  <c r="I10" i="2"/>
  <c r="I28" i="2" s="1"/>
  <c r="H10" i="2"/>
  <c r="H28" i="2" s="1"/>
  <c r="G10" i="2"/>
  <c r="G28" i="2" s="1"/>
  <c r="F10" i="2"/>
  <c r="E10" i="2"/>
  <c r="E28" i="2" s="1"/>
  <c r="D10" i="2"/>
  <c r="D28" i="2" s="1"/>
  <c r="C10" i="2"/>
  <c r="C28" i="2" s="1"/>
  <c r="N9" i="2"/>
  <c r="B8" i="2"/>
  <c r="N8" i="2" s="1"/>
  <c r="B5" i="3" s="1"/>
  <c r="B5" i="2"/>
  <c r="B10" i="2" l="1"/>
  <c r="B11" i="3"/>
  <c r="C11" i="3" s="1"/>
  <c r="B22" i="3"/>
  <c r="B17" i="3"/>
  <c r="C17" i="3" s="1"/>
  <c r="C15" i="3"/>
  <c r="B23" i="3"/>
  <c r="N5" i="2"/>
  <c r="B6" i="3"/>
  <c r="B8" i="3" s="1"/>
  <c r="C14" i="3" l="1"/>
  <c r="N10" i="2"/>
  <c r="B28" i="2"/>
  <c r="C12" i="3"/>
  <c r="C13" i="3"/>
  <c r="B29" i="2" l="1"/>
  <c r="N28" i="2"/>
  <c r="C5" i="2" l="1"/>
  <c r="C29" i="2" s="1"/>
  <c r="D5" i="2" s="1"/>
  <c r="D29" i="2" s="1"/>
  <c r="E5" i="2" s="1"/>
  <c r="E29" i="2" s="1"/>
  <c r="F5" i="2" s="1"/>
  <c r="F29" i="2" s="1"/>
  <c r="G5" i="2" s="1"/>
  <c r="G29" i="2" s="1"/>
  <c r="H5" i="2" s="1"/>
  <c r="H29" i="2" s="1"/>
  <c r="I5" i="2" s="1"/>
  <c r="I29" i="2" s="1"/>
  <c r="J5" i="2" s="1"/>
  <c r="J29" i="2" s="1"/>
  <c r="K5" i="2" s="1"/>
  <c r="K29" i="2" s="1"/>
  <c r="L5" i="2" s="1"/>
  <c r="L29" i="2" s="1"/>
  <c r="M5" i="2" s="1"/>
  <c r="M29" i="2" s="1"/>
  <c r="B21" i="3"/>
  <c r="N29" i="2" l="1"/>
  <c r="B20" i="3"/>
</calcChain>
</file>

<file path=xl/sharedStrings.xml><?xml version="1.0" encoding="utf-8"?>
<sst xmlns="http://schemas.openxmlformats.org/spreadsheetml/2006/main" count="96" uniqueCount="96">
  <si>
    <t>Workit — Cash Flow Assumptions</t>
  </si>
  <si>
    <t>Furthersky Solutions  ·  Reg. 2024/163230/07  ·  workitsa.co.za</t>
  </si>
  <si>
    <t>All figures in South African Rand (R). Year 1 of operations (illustrative start Jul 2026).</t>
  </si>
  <si>
    <t>KEY FUNDING INPUTS</t>
  </si>
  <si>
    <t>Founder seed capital (opening cash)</t>
  </si>
  <si>
    <t>Own funds already in the business.</t>
  </si>
  <si>
    <t>Grant funding sought (Year 1)</t>
  </si>
  <si>
    <t>NYDA grant cap; also frames the Youth Challenge Fund / Pitch &amp; Polish asks.</t>
  </si>
  <si>
    <t>Grant disbursement timing</t>
  </si>
  <si>
    <t>Month 1</t>
  </si>
  <si>
    <t>Modelled as a single Month-1 inflow; adjust to the funder's tranche schedule.</t>
  </si>
  <si>
    <t>REVENUE ASSUMPTIONS</t>
  </si>
  <si>
    <t>Monetisation start</t>
  </si>
  <si>
    <t>Month 8</t>
  </si>
  <si>
    <t>Free during launch (founder decision); a small service fee begins once liquidity is proven.</t>
  </si>
  <si>
    <t>Revenue model</t>
  </si>
  <si>
    <t>Service fee</t>
  </si>
  <si>
    <t>Light facilitation fee on confirmed jobs + optional worker 'verified boost'. Conservative ramp.</t>
  </si>
  <si>
    <t>Year-1 platform revenue (total)</t>
  </si>
  <si>
    <t>R36,500</t>
  </si>
  <si>
    <t>Deliberately conservative — proves a revenue path, not the main Year-1 story.</t>
  </si>
  <si>
    <t>COST DRIVERS (monthly, unless one-off)</t>
  </si>
  <si>
    <t>Founder stipend</t>
  </si>
  <si>
    <t>Modest stipend — grant money goes to growth, not salary.</t>
  </si>
  <si>
    <t>Operations admin stipend (Simphiwe Msibi)</t>
  </si>
  <si>
    <t>Part-time admin: approvals, verification, support, disputes.</t>
  </si>
  <si>
    <t>Cloud &amp; hosting (Firebase/Google Cloud)</t>
  </si>
  <si>
    <t>R500 → R3,000</t>
  </si>
  <si>
    <t>Scales with users; usage-based, ramps through the year.</t>
  </si>
  <si>
    <t>Marketing &amp; community activation</t>
  </si>
  <si>
    <t>R2,500 → R5,000</t>
  </si>
  <si>
    <t>Township activations, field ambassadors, local social ads, print.</t>
  </si>
  <si>
    <t>Worker onboarding &amp; field ambassadors</t>
  </si>
  <si>
    <t>Getting verified workers onto the platform on the ground.</t>
  </si>
  <si>
    <t>Legal — Terms/Privacy sign-off + IO registration</t>
  </si>
  <si>
    <t>One-off (M1–M2): attorney review + POPIA Information Officer registration.</t>
  </si>
  <si>
    <t>Equipment (laptops/phones for field + testing)</t>
  </si>
  <si>
    <t>One-off, Month 1.</t>
  </si>
  <si>
    <t>Blue cells are inputs you can change. Black numbers on the Cash Flow tab are formulas.</t>
  </si>
  <si>
    <t>Workit (Furthersky Solutions) — 12-Month Cash Flow Projection</t>
  </si>
  <si>
    <t>All figures in South African Rand (R). Year 1 of operations.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</si>
  <si>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</si>
  <si>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</si>
  <si>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</si>
  <si>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</si>
  <si>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</si>
  <si>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</si>
  <si>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</si>
  <si>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</si>
  <si>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</si>
  <si>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</si>
  <si>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</si>
  <si>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</si>
  <si>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Total Yr 1</t>
  </si>
  <si>
    <t>OPENING CASH BALANCE</t>
  </si>
  <si>
    <t>CASH INFLOWS</t>
  </si>
  <si>
    <t xml:space="preserve">   Grant funding (NYDA / YCF / Pitch &amp; Polish)</t>
  </si>
  <si>
    <t xml:space="preserve">   Platform revenue (service fees, from M8)</t>
  </si>
  <si>
    <t>Total cash inflows</t>
  </si>
  <si>
    <t>CASH OUTFLOWS</t>
  </si>
  <si>
    <t xml:space="preserve">   Founder stipend</t>
  </si>
  <si>
    <t xml:space="preserve">   Operations admin stipend</t>
  </si>
  <si>
    <t xml:space="preserve">   Cloud &amp; hosting (Firebase)</t>
  </si>
  <si>
    <t xml:space="preserve">   Software, domains &amp; tools</t>
  </si>
  <si>
    <t xml:space="preserve">   Communications (WhatsApp/SMS/email)</t>
  </si>
  <si>
    <t xml:space="preserve">   Marketing &amp; community activation</t>
  </si>
  <si>
    <t xml:space="preserve">   Worker onboarding &amp; field ambassadors</t>
  </si>
  <si>
    <t xml:space="preserve">   Transport &amp; field costs</t>
  </si>
  <si>
    <t xml:space="preserve">   Contingency (buffer)</t>
  </si>
  <si>
    <t xml:space="preserve">   Legal — Terms/Privacy + IO registration</t>
  </si>
  <si>
    <t xml:space="preserve">   Equipment (laptops/phones)</t>
  </si>
  <si>
    <t xml:space="preserve">   Accounting &amp; compliance setup</t>
  </si>
  <si>
    <t xml:space="preserve">   Brand &amp; launch assets</t>
  </si>
  <si>
    <t>Total cash outflows</t>
  </si>
  <si>
    <t>Net cash movement</t>
  </si>
  <si>
    <t>CLOSING CASH BALANCE</t>
  </si>
  <si>
    <t>Workit — Year 1 Summary &amp; Use of Funds</t>
  </si>
  <si>
    <t>Furthersky Solutions · all figures in Rand (R)</t>
  </si>
  <si>
    <t>FUNDING &amp; REVENUE (Year 1)</t>
  </si>
  <si>
    <t>Grant funding</t>
  </si>
  <si>
    <t>Platform revenue</t>
  </si>
  <si>
    <t>Founder seed (opening)</t>
  </si>
  <si>
    <t>Total cash available</t>
  </si>
  <si>
    <t>USE OF FUNDS — spend by category (Year 1)</t>
  </si>
  <si>
    <t>People (founder + admin stipends)</t>
  </si>
  <si>
    <t>Infrastructure &amp; tools</t>
  </si>
  <si>
    <t>Marketing &amp; growth</t>
  </si>
  <si>
    <t>Operations (transport, contingency)</t>
  </si>
  <si>
    <t>One-off setup (legal, equipment, brand)</t>
  </si>
  <si>
    <t>Total Year-1 spend</t>
  </si>
  <si>
    <t>KEY METRICS</t>
  </si>
  <si>
    <t>Year-end cash balance</t>
  </si>
  <si>
    <t>Lowest monthly closing balance (runway floor)</t>
  </si>
  <si>
    <t>Total operating spend</t>
  </si>
  <si>
    <t>Revenue as % of Year-1 spend</t>
  </si>
  <si>
    <t>The R250k grant funds a full year of operations with a positive cash buffer at year-end, while platform revenue begins to ramp in the second half.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</si>
</sst>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#,##0;\(\R#,##0\);&quot;-&quot;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6"/>
      <color rgb="FFB85A2A"/>
      <name val="Arial"/>
    </font>
    <font>
      <sz val="10"/>
      <color rgb="FF7A6A5E"/>
      <name val="Arial"/>
    </font>
    <font>
      <i/>
      <sz val="10"/>
      <color rgb="FF7A6A5E"/>
      <name val="Arial"/>
    </font>
    <font>
      <b/>
      <sz val="11"/>
      <color rgb="FF1F1612"/>
      <name val="Arial"/>
    </font>
    <font>
      <sz val="10"/>
      <color rgb="FF1F1612"/>
      <name val="Arial"/>
    </font>
    <font>
      <b/>
      <sz val="10"/>
      <color rgb="FF0000FF"/>
      <name val="Arial"/>
    </font>
    <font>
      <i/>
      <sz val="9"/>
      <color rgb="FF7A6A5E"/>
      <name val="Arial"/>
    </font>
    <font>
      <i/>
      <sz val="9"/>
      <color rgb="FF0000FF"/>
      <name val="Arial"/>
    </font>
    <font>
      <b/>
      <sz val="15"/>
      <color rgb="FFB85A2A"/>
      <name val="Arial"/>
    </font>
    <font>
      <b/>
      <sz val="10"/>
      <color rgb="FFFFFFFF"/>
      <name val="Arial"/>
    </font>
    <font>
      <b/>
      <sz val="10"/>
      <color rgb="FF1F1612"/>
      <name val="Arial"/>
    </font>
    <font>
      <b/>
      <sz val="10"/>
      <color rgb="FF008000"/>
      <name val="Arial"/>
    </font>
    <font>
      <b/>
      <sz val="10"/>
      <color rgb="FF5D7A47"/>
      <name val="Arial"/>
    </font>
    <font>
      <sz val="10"/>
      <color rgb="FF0000FF"/>
      <name val="Arial"/>
    </font>
    <font>
      <b/>
      <sz val="10"/>
      <color rgb="FFB85A2A"/>
      <name val="Arial"/>
    </font>
    <font>
      <sz val="10"/>
      <color rgb="FF008000"/>
      <name val="Arial"/>
    </font>
    <font>
      <b/>
      <sz val="10"/>
      <color rgb="FF7A6A5E"/>
      <name val="Arial"/>
    </font>
  </fonts>
  <fills count="5">
    <fill>
      <patternFill patternType="none"/>
    </fill>
    <fill>
      <patternFill patternType="gray125"/>
    </fill>
    <fill>
      <patternFill patternType="solid">
        <fgColor rgb="FFF3EAD9"/>
      </patternFill>
    </fill>
    <fill>
      <patternFill patternType="solid">
        <fgColor rgb="FF1F1612"/>
      </patternFill>
    </fill>
    <fill>
      <patternFill patternType="solid">
        <fgColor rgb="FFEFE7D8"/>
      </patternFill>
    </fill>
  </fills>
  <borders count="2">
    <border>
      <left/>
      <right/>
      <top/>
      <bottom/>
      <diagonal/>
    </border>
    <border>
      <left/>
      <right/>
      <top style="thin">
        <color rgb="FF1F161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/>
    </xf>
    <xf numFmtId="0" fontId="11" fillId="0" borderId="0" xfId="0" applyFont="1"/>
    <xf numFmtId="164" fontId="12" fillId="0" borderId="0" xfId="0" applyNumberFormat="1" applyFont="1"/>
    <xf numFmtId="164" fontId="5" fillId="0" borderId="0" xfId="0" applyNumberFormat="1" applyFont="1"/>
    <xf numFmtId="164" fontId="11" fillId="0" borderId="0" xfId="0" applyNumberFormat="1" applyFont="1"/>
    <xf numFmtId="0" fontId="13" fillId="2" borderId="0" xfId="0" applyFont="1" applyFill="1"/>
    <xf numFmtId="164" fontId="14" fillId="0" borderId="0" xfId="0" applyNumberFormat="1" applyFont="1"/>
    <xf numFmtId="0" fontId="11" fillId="0" borderId="1" xfId="0" applyFont="1" applyBorder="1"/>
    <xf numFmtId="0" fontId="15" fillId="2" borderId="0" xfId="0" applyFont="1" applyFill="1"/>
    <xf numFmtId="0" fontId="11" fillId="4" borderId="1" xfId="0" applyFont="1" applyFill="1" applyBorder="1"/>
    <xf numFmtId="164" fontId="11" fillId="4" borderId="0" xfId="0" applyNumberFormat="1" applyFont="1" applyFill="1"/>
    <xf numFmtId="164" fontId="16" fillId="0" borderId="0" xfId="0" applyNumberFormat="1" applyFont="1"/>
    <xf numFmtId="164" fontId="11" fillId="0" borderId="1" xfId="0" applyNumberFormat="1" applyFont="1" applyBorder="1"/>
    <xf numFmtId="165" fontId="2" fillId="0" borderId="0" xfId="0" applyNumberFormat="1" applyFont="1"/>
    <xf numFmtId="164" fontId="12" fillId="0" borderId="1" xfId="0" applyNumberFormat="1" applyFont="1" applyBorder="1"/>
    <xf numFmtId="165" fontId="17" fillId="0" borderId="1" xfId="0" applyNumberFormat="1" applyFont="1" applyBorder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workbookViewId="0"/>
  </sheetViews>
  <sheetFormatPr defaultRowHeight="14.4" x14ac:dyDescent="0.3"/>
  <cols>
    <col min="1" max="1" width="42" customWidth="1"/>
    <col min="2" max="2" width="22" customWidth="1"/>
    <col min="3" max="3" width="60" customWidth="1"/>
  </cols>
  <sheetData>
    <row r="1" spans="1:3" ht="21" x14ac:dyDescent="0.4">
      <c r="A1" s="1" t="s">
        <v>0</v>
      </c>
    </row>
    <row r="2" spans="1:3" x14ac:dyDescent="0.3">
      <c r="A2" s="2" t="s">
        <v>1</v>
      </c>
    </row>
    <row r="3" spans="1:3" x14ac:dyDescent="0.3">
      <c r="A3" s="3" t="s">
        <v>2</v>
      </c>
    </row>
    <row r="5" spans="1:3" x14ac:dyDescent="0.3">
      <c r="A5" s="4" t="s">
        <v>3</v>
      </c>
      <c r="B5" s="5"/>
      <c r="C5" s="5"/>
    </row>
    <row r="6" spans="1:3" x14ac:dyDescent="0.3">
      <c r="A6" s="6" t="s">
        <v>4</v>
      </c>
      <c r="B6" s="7">
        <v>5000</v>
      </c>
      <c r="C6" s="8" t="s">
        <v>5</v>
      </c>
    </row>
    <row r="7" spans="1:3" x14ac:dyDescent="0.3">
      <c r="A7" s="6" t="s">
        <v>6</v>
      </c>
      <c r="B7" s="7">
        <v>250000</v>
      </c>
      <c r="C7" s="8" t="s">
        <v>7</v>
      </c>
    </row>
    <row r="8" spans="1:3" x14ac:dyDescent="0.3">
      <c r="A8" s="6" t="s">
        <v>8</v>
      </c>
      <c r="B8" s="9" t="s">
        <v>9</v>
      </c>
      <c r="C8" s="8" t="s">
        <v>10</v>
      </c>
    </row>
    <row r="10" spans="1:3" x14ac:dyDescent="0.3">
      <c r="A10" s="4" t="s">
        <v>11</v>
      </c>
      <c r="B10" s="5"/>
      <c r="C10" s="5"/>
    </row>
    <row r="11" spans="1:3" x14ac:dyDescent="0.3">
      <c r="A11" s="6" t="s">
        <v>12</v>
      </c>
      <c r="B11" s="9" t="s">
        <v>13</v>
      </c>
      <c r="C11" s="8" t="s">
        <v>14</v>
      </c>
    </row>
    <row r="12" spans="1:3" x14ac:dyDescent="0.3">
      <c r="A12" s="6" t="s">
        <v>15</v>
      </c>
      <c r="B12" s="9" t="s">
        <v>16</v>
      </c>
      <c r="C12" s="8" t="s">
        <v>17</v>
      </c>
    </row>
    <row r="13" spans="1:3" x14ac:dyDescent="0.3">
      <c r="A13" s="6" t="s">
        <v>18</v>
      </c>
      <c r="B13" s="9" t="s">
        <v>19</v>
      </c>
      <c r="C13" s="8" t="s">
        <v>20</v>
      </c>
    </row>
    <row r="15" spans="1:3" x14ac:dyDescent="0.3">
      <c r="A15" s="4" t="s">
        <v>21</v>
      </c>
      <c r="B15" s="5"/>
      <c r="C15" s="5"/>
    </row>
    <row r="16" spans="1:3" x14ac:dyDescent="0.3">
      <c r="A16" s="6" t="s">
        <v>22</v>
      </c>
      <c r="B16" s="7">
        <v>6000</v>
      </c>
      <c r="C16" s="8" t="s">
        <v>23</v>
      </c>
    </row>
    <row r="17" spans="1:3" x14ac:dyDescent="0.3">
      <c r="A17" s="6" t="s">
        <v>24</v>
      </c>
      <c r="B17" s="7">
        <v>3000</v>
      </c>
      <c r="C17" s="8" t="s">
        <v>25</v>
      </c>
    </row>
    <row r="18" spans="1:3" x14ac:dyDescent="0.3">
      <c r="A18" s="6" t="s">
        <v>26</v>
      </c>
      <c r="B18" s="9" t="s">
        <v>27</v>
      </c>
      <c r="C18" s="8" t="s">
        <v>28</v>
      </c>
    </row>
    <row r="19" spans="1:3" x14ac:dyDescent="0.3">
      <c r="A19" s="6" t="s">
        <v>29</v>
      </c>
      <c r="B19" s="9" t="s">
        <v>30</v>
      </c>
      <c r="C19" s="8" t="s">
        <v>31</v>
      </c>
    </row>
    <row r="20" spans="1:3" x14ac:dyDescent="0.3">
      <c r="A20" s="6" t="s">
        <v>32</v>
      </c>
      <c r="B20" s="7">
        <v>1800</v>
      </c>
      <c r="C20" s="8" t="s">
        <v>33</v>
      </c>
    </row>
    <row r="21" spans="1:3" x14ac:dyDescent="0.3">
      <c r="A21" s="6" t="s">
        <v>34</v>
      </c>
      <c r="B21" s="7">
        <v>15000</v>
      </c>
      <c r="C21" s="8" t="s">
        <v>35</v>
      </c>
    </row>
    <row r="22" spans="1:3" x14ac:dyDescent="0.3">
      <c r="A22" s="6" t="s">
        <v>36</v>
      </c>
      <c r="B22" s="7">
        <v>8000</v>
      </c>
      <c r="C22" s="8" t="s">
        <v>37</v>
      </c>
    </row>
    <row r="24" spans="1:3" x14ac:dyDescent="0.3">
      <c r="A24" s="1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3" width="11.44140625" customWidth="1"/>
    <col min="14" max="14" width="13" customWidth="1"/>
  </cols>
  <sheetData>
    <row r="1" spans="1:14" ht="19.2" x14ac:dyDescent="0.35">
      <c r="A1" s="11" t="s">
        <v>39</v>
      </c>
    </row>
    <row r="2" spans="1:14" x14ac:dyDescent="0.3">
      <c r="A2" s="3" t="s">
        <v>40</v>
      </c>
    </row>
    <row r="4" spans="1:14" x14ac:dyDescent="0.3">
      <c r="B4" s="12" t="s">
        <v>41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  <c r="H4" s="12" t="s">
        <v>47</v>
      </c>
      <c r="I4" s="12" t="s">
        <v>48</v>
      </c>
      <c r="J4" s="12" t="s">
        <v>49</v>
      </c>
      <c r="K4" s="12" t="s">
        <v>50</v>
      </c>
      <c r="L4" s="12" t="s">
        <v>51</v>
      </c>
      <c r="M4" s="12" t="s">
        <v>52</v>
      </c>
      <c r="N4" s="12" t="s">
        <v>53</v>
      </c>
    </row>
    <row r="5" spans="1:14" x14ac:dyDescent="0.3">
      <c r="A5" s="13" t="s">
        <v>54</v>
      </c>
      <c r="B5" s="14">
        <f>Assumptions!B6</f>
        <v>5000</v>
      </c>
      <c r="C5" s="15">
        <f t="shared" ref="C5:M5" si="0">B29</f>
        <v>218000</v>
      </c>
      <c r="D5" s="15">
        <f t="shared" si="0"/>
        <v>191000</v>
      </c>
      <c r="E5" s="15">
        <f t="shared" si="0"/>
        <v>174000</v>
      </c>
      <c r="F5" s="15">
        <f t="shared" si="0"/>
        <v>155800</v>
      </c>
      <c r="G5" s="15">
        <f t="shared" si="0"/>
        <v>137600</v>
      </c>
      <c r="H5" s="15">
        <f t="shared" si="0"/>
        <v>118900</v>
      </c>
      <c r="I5" s="15">
        <f t="shared" si="0"/>
        <v>99400</v>
      </c>
      <c r="J5" s="15">
        <f t="shared" si="0"/>
        <v>81900</v>
      </c>
      <c r="K5" s="15">
        <f t="shared" si="0"/>
        <v>65900</v>
      </c>
      <c r="L5" s="15">
        <f t="shared" si="0"/>
        <v>51400</v>
      </c>
      <c r="M5" s="15">
        <f t="shared" si="0"/>
        <v>39400</v>
      </c>
      <c r="N5" s="16">
        <f>B5</f>
        <v>5000</v>
      </c>
    </row>
    <row r="7" spans="1:14" x14ac:dyDescent="0.3">
      <c r="A7" s="17" t="s">
        <v>55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6" t="s">
        <v>56</v>
      </c>
      <c r="B8" s="14">
        <f>Assumptions!B7</f>
        <v>250000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6">
        <f>SUM(B8:M8)</f>
        <v>250000</v>
      </c>
    </row>
    <row r="9" spans="1:14" x14ac:dyDescent="0.3">
      <c r="A9" s="6" t="s">
        <v>57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2000</v>
      </c>
      <c r="J9" s="18">
        <v>4000</v>
      </c>
      <c r="K9" s="18">
        <v>6500</v>
      </c>
      <c r="L9" s="18">
        <v>9500</v>
      </c>
      <c r="M9" s="18">
        <v>14500</v>
      </c>
      <c r="N9" s="16">
        <f>SUM(B9:M9)</f>
        <v>36500</v>
      </c>
    </row>
    <row r="10" spans="1:14" x14ac:dyDescent="0.3">
      <c r="A10" s="19" t="s">
        <v>58</v>
      </c>
      <c r="B10" s="16">
        <f t="shared" ref="B10:M10" si="1">SUM(B8:B9)</f>
        <v>250000</v>
      </c>
      <c r="C10" s="16">
        <f t="shared" si="1"/>
        <v>0</v>
      </c>
      <c r="D10" s="16">
        <f t="shared" si="1"/>
        <v>0</v>
      </c>
      <c r="E10" s="16">
        <f t="shared" si="1"/>
        <v>0</v>
      </c>
      <c r="F10" s="16">
        <f t="shared" si="1"/>
        <v>0</v>
      </c>
      <c r="G10" s="16">
        <f t="shared" si="1"/>
        <v>0</v>
      </c>
      <c r="H10" s="16">
        <f t="shared" si="1"/>
        <v>0</v>
      </c>
      <c r="I10" s="16">
        <f t="shared" si="1"/>
        <v>2000</v>
      </c>
      <c r="J10" s="16">
        <f t="shared" si="1"/>
        <v>4000</v>
      </c>
      <c r="K10" s="16">
        <f t="shared" si="1"/>
        <v>6500</v>
      </c>
      <c r="L10" s="16">
        <f t="shared" si="1"/>
        <v>9500</v>
      </c>
      <c r="M10" s="16">
        <f t="shared" si="1"/>
        <v>14500</v>
      </c>
      <c r="N10" s="16">
        <f>SUM(B10:M10)</f>
        <v>286500</v>
      </c>
    </row>
    <row r="12" spans="1:14" x14ac:dyDescent="0.3">
      <c r="A12" s="20" t="s">
        <v>59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6" t="s">
        <v>60</v>
      </c>
      <c r="B13" s="18">
        <v>6000</v>
      </c>
      <c r="C13" s="18">
        <v>6000</v>
      </c>
      <c r="D13" s="18">
        <v>6000</v>
      </c>
      <c r="E13" s="18">
        <v>6000</v>
      </c>
      <c r="F13" s="18">
        <v>6000</v>
      </c>
      <c r="G13" s="18">
        <v>6000</v>
      </c>
      <c r="H13" s="18">
        <v>6000</v>
      </c>
      <c r="I13" s="18">
        <v>6000</v>
      </c>
      <c r="J13" s="18">
        <v>6000</v>
      </c>
      <c r="K13" s="18">
        <v>6000</v>
      </c>
      <c r="L13" s="18">
        <v>6000</v>
      </c>
      <c r="M13" s="18">
        <v>6000</v>
      </c>
      <c r="N13" s="16">
        <f t="shared" ref="N13:N26" si="2">SUM(B13:M13)</f>
        <v>72000</v>
      </c>
    </row>
    <row r="14" spans="1:14" x14ac:dyDescent="0.3">
      <c r="A14" s="6" t="s">
        <v>61</v>
      </c>
      <c r="B14" s="18">
        <v>3000</v>
      </c>
      <c r="C14" s="18">
        <v>3000</v>
      </c>
      <c r="D14" s="18">
        <v>3000</v>
      </c>
      <c r="E14" s="18">
        <v>3000</v>
      </c>
      <c r="F14" s="18">
        <v>3000</v>
      </c>
      <c r="G14" s="18">
        <v>3000</v>
      </c>
      <c r="H14" s="18">
        <v>3000</v>
      </c>
      <c r="I14" s="18">
        <v>3000</v>
      </c>
      <c r="J14" s="18">
        <v>3000</v>
      </c>
      <c r="K14" s="18">
        <v>3000</v>
      </c>
      <c r="L14" s="18">
        <v>3000</v>
      </c>
      <c r="M14" s="18">
        <v>3000</v>
      </c>
      <c r="N14" s="16">
        <f t="shared" si="2"/>
        <v>36000</v>
      </c>
    </row>
    <row r="15" spans="1:14" x14ac:dyDescent="0.3">
      <c r="A15" s="6" t="s">
        <v>62</v>
      </c>
      <c r="B15" s="18">
        <v>500</v>
      </c>
      <c r="C15" s="18">
        <v>500</v>
      </c>
      <c r="D15" s="18">
        <v>500</v>
      </c>
      <c r="E15" s="18">
        <v>1200</v>
      </c>
      <c r="F15" s="18">
        <v>1200</v>
      </c>
      <c r="G15" s="18">
        <v>1200</v>
      </c>
      <c r="H15" s="18">
        <v>2000</v>
      </c>
      <c r="I15" s="18">
        <v>2000</v>
      </c>
      <c r="J15" s="18">
        <v>2000</v>
      </c>
      <c r="K15" s="18">
        <v>3000</v>
      </c>
      <c r="L15" s="18">
        <v>3000</v>
      </c>
      <c r="M15" s="18">
        <v>3000</v>
      </c>
      <c r="N15" s="16">
        <f t="shared" si="2"/>
        <v>20100</v>
      </c>
    </row>
    <row r="16" spans="1:14" x14ac:dyDescent="0.3">
      <c r="A16" s="6" t="s">
        <v>63</v>
      </c>
      <c r="B16" s="18">
        <v>600</v>
      </c>
      <c r="C16" s="18">
        <v>600</v>
      </c>
      <c r="D16" s="18">
        <v>600</v>
      </c>
      <c r="E16" s="18">
        <v>600</v>
      </c>
      <c r="F16" s="18">
        <v>600</v>
      </c>
      <c r="G16" s="18">
        <v>600</v>
      </c>
      <c r="H16" s="18">
        <v>600</v>
      </c>
      <c r="I16" s="18">
        <v>600</v>
      </c>
      <c r="J16" s="18">
        <v>600</v>
      </c>
      <c r="K16" s="18">
        <v>600</v>
      </c>
      <c r="L16" s="18">
        <v>600</v>
      </c>
      <c r="M16" s="18">
        <v>600</v>
      </c>
      <c r="N16" s="16">
        <f t="shared" si="2"/>
        <v>7200</v>
      </c>
    </row>
    <row r="17" spans="1:14" x14ac:dyDescent="0.3">
      <c r="A17" s="6" t="s">
        <v>64</v>
      </c>
      <c r="B17" s="18">
        <v>300</v>
      </c>
      <c r="C17" s="18">
        <v>300</v>
      </c>
      <c r="D17" s="18">
        <v>300</v>
      </c>
      <c r="E17" s="18">
        <v>300</v>
      </c>
      <c r="F17" s="18">
        <v>300</v>
      </c>
      <c r="G17" s="18">
        <v>300</v>
      </c>
      <c r="H17" s="18">
        <v>300</v>
      </c>
      <c r="I17" s="18">
        <v>300</v>
      </c>
      <c r="J17" s="18">
        <v>300</v>
      </c>
      <c r="K17" s="18">
        <v>300</v>
      </c>
      <c r="L17" s="18">
        <v>300</v>
      </c>
      <c r="M17" s="18">
        <v>300</v>
      </c>
      <c r="N17" s="16">
        <f t="shared" si="2"/>
        <v>3600</v>
      </c>
    </row>
    <row r="18" spans="1:14" x14ac:dyDescent="0.3">
      <c r="A18" s="6" t="s">
        <v>65</v>
      </c>
      <c r="B18" s="18">
        <v>2500</v>
      </c>
      <c r="C18" s="18">
        <v>3000</v>
      </c>
      <c r="D18" s="18">
        <v>3000</v>
      </c>
      <c r="E18" s="18">
        <v>3500</v>
      </c>
      <c r="F18" s="18">
        <v>3500</v>
      </c>
      <c r="G18" s="18">
        <v>4000</v>
      </c>
      <c r="H18" s="18">
        <v>4000</v>
      </c>
      <c r="I18" s="18">
        <v>4000</v>
      </c>
      <c r="J18" s="18">
        <v>4500</v>
      </c>
      <c r="K18" s="18">
        <v>4500</v>
      </c>
      <c r="L18" s="18">
        <v>5000</v>
      </c>
      <c r="M18" s="18">
        <v>5000</v>
      </c>
      <c r="N18" s="16">
        <f t="shared" si="2"/>
        <v>46500</v>
      </c>
    </row>
    <row r="19" spans="1:14" x14ac:dyDescent="0.3">
      <c r="A19" s="6" t="s">
        <v>66</v>
      </c>
      <c r="B19" s="18">
        <v>1800</v>
      </c>
      <c r="C19" s="18">
        <v>1800</v>
      </c>
      <c r="D19" s="18">
        <v>1800</v>
      </c>
      <c r="E19" s="18">
        <v>1800</v>
      </c>
      <c r="F19" s="18">
        <v>1800</v>
      </c>
      <c r="G19" s="18">
        <v>1800</v>
      </c>
      <c r="H19" s="18">
        <v>1800</v>
      </c>
      <c r="I19" s="18">
        <v>1800</v>
      </c>
      <c r="J19" s="18">
        <v>1800</v>
      </c>
      <c r="K19" s="18">
        <v>1800</v>
      </c>
      <c r="L19" s="18">
        <v>1800</v>
      </c>
      <c r="M19" s="18">
        <v>1800</v>
      </c>
      <c r="N19" s="16">
        <f t="shared" si="2"/>
        <v>21600</v>
      </c>
    </row>
    <row r="20" spans="1:14" x14ac:dyDescent="0.3">
      <c r="A20" s="6" t="s">
        <v>67</v>
      </c>
      <c r="B20" s="18">
        <v>1000</v>
      </c>
      <c r="C20" s="18">
        <v>1000</v>
      </c>
      <c r="D20" s="18">
        <v>1000</v>
      </c>
      <c r="E20" s="18">
        <v>1000</v>
      </c>
      <c r="F20" s="18">
        <v>1000</v>
      </c>
      <c r="G20" s="18">
        <v>1000</v>
      </c>
      <c r="H20" s="18">
        <v>1000</v>
      </c>
      <c r="I20" s="18">
        <v>1000</v>
      </c>
      <c r="J20" s="18">
        <v>1000</v>
      </c>
      <c r="K20" s="18">
        <v>1000</v>
      </c>
      <c r="L20" s="18">
        <v>1000</v>
      </c>
      <c r="M20" s="18">
        <v>1000</v>
      </c>
      <c r="N20" s="16">
        <f t="shared" si="2"/>
        <v>12000</v>
      </c>
    </row>
    <row r="21" spans="1:14" x14ac:dyDescent="0.3">
      <c r="A21" s="6" t="s">
        <v>68</v>
      </c>
      <c r="B21" s="18">
        <v>800</v>
      </c>
      <c r="C21" s="18">
        <v>800</v>
      </c>
      <c r="D21" s="18">
        <v>800</v>
      </c>
      <c r="E21" s="18">
        <v>800</v>
      </c>
      <c r="F21" s="18">
        <v>800</v>
      </c>
      <c r="G21" s="18">
        <v>800</v>
      </c>
      <c r="H21" s="18">
        <v>800</v>
      </c>
      <c r="I21" s="18">
        <v>800</v>
      </c>
      <c r="J21" s="18">
        <v>800</v>
      </c>
      <c r="K21" s="18">
        <v>800</v>
      </c>
      <c r="L21" s="18">
        <v>800</v>
      </c>
      <c r="M21" s="18">
        <v>800</v>
      </c>
      <c r="N21" s="16">
        <f t="shared" si="2"/>
        <v>9600</v>
      </c>
    </row>
    <row r="22" spans="1:14" x14ac:dyDescent="0.3">
      <c r="A22" s="6" t="s">
        <v>69</v>
      </c>
      <c r="B22" s="18">
        <v>9000</v>
      </c>
      <c r="C22" s="18">
        <v>6000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6">
        <f t="shared" si="2"/>
        <v>15000</v>
      </c>
    </row>
    <row r="23" spans="1:14" x14ac:dyDescent="0.3">
      <c r="A23" s="6" t="s">
        <v>70</v>
      </c>
      <c r="B23" s="18">
        <v>8000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6">
        <f t="shared" si="2"/>
        <v>8000</v>
      </c>
    </row>
    <row r="24" spans="1:14" x14ac:dyDescent="0.3">
      <c r="A24" s="6" t="s">
        <v>71</v>
      </c>
      <c r="B24" s="18">
        <v>3500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6">
        <f t="shared" si="2"/>
        <v>3500</v>
      </c>
    </row>
    <row r="25" spans="1:14" x14ac:dyDescent="0.3">
      <c r="A25" s="6" t="s">
        <v>72</v>
      </c>
      <c r="B25" s="18">
        <v>0</v>
      </c>
      <c r="C25" s="18">
        <v>4000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6">
        <f t="shared" si="2"/>
        <v>4000</v>
      </c>
    </row>
    <row r="26" spans="1:14" x14ac:dyDescent="0.3">
      <c r="A26" s="19" t="s">
        <v>73</v>
      </c>
      <c r="B26" s="16">
        <f t="shared" ref="B26:M26" si="3">SUM(B13:B25)</f>
        <v>37000</v>
      </c>
      <c r="C26" s="16">
        <f t="shared" si="3"/>
        <v>27000</v>
      </c>
      <c r="D26" s="16">
        <f t="shared" si="3"/>
        <v>17000</v>
      </c>
      <c r="E26" s="16">
        <f t="shared" si="3"/>
        <v>18200</v>
      </c>
      <c r="F26" s="16">
        <f t="shared" si="3"/>
        <v>18200</v>
      </c>
      <c r="G26" s="16">
        <f t="shared" si="3"/>
        <v>18700</v>
      </c>
      <c r="H26" s="16">
        <f t="shared" si="3"/>
        <v>19500</v>
      </c>
      <c r="I26" s="16">
        <f t="shared" si="3"/>
        <v>19500</v>
      </c>
      <c r="J26" s="16">
        <f t="shared" si="3"/>
        <v>20000</v>
      </c>
      <c r="K26" s="16">
        <f t="shared" si="3"/>
        <v>21000</v>
      </c>
      <c r="L26" s="16">
        <f t="shared" si="3"/>
        <v>21500</v>
      </c>
      <c r="M26" s="16">
        <f t="shared" si="3"/>
        <v>21500</v>
      </c>
      <c r="N26" s="16">
        <f t="shared" si="2"/>
        <v>259100</v>
      </c>
    </row>
    <row r="28" spans="1:14" x14ac:dyDescent="0.3">
      <c r="A28" s="13" t="s">
        <v>74</v>
      </c>
      <c r="B28" s="16">
        <f t="shared" ref="B28:M28" si="4">B10-B26</f>
        <v>213000</v>
      </c>
      <c r="C28" s="16">
        <f t="shared" si="4"/>
        <v>-27000</v>
      </c>
      <c r="D28" s="16">
        <f t="shared" si="4"/>
        <v>-17000</v>
      </c>
      <c r="E28" s="16">
        <f t="shared" si="4"/>
        <v>-18200</v>
      </c>
      <c r="F28" s="16">
        <f t="shared" si="4"/>
        <v>-18200</v>
      </c>
      <c r="G28" s="16">
        <f t="shared" si="4"/>
        <v>-18700</v>
      </c>
      <c r="H28" s="16">
        <f t="shared" si="4"/>
        <v>-19500</v>
      </c>
      <c r="I28" s="16">
        <f t="shared" si="4"/>
        <v>-17500</v>
      </c>
      <c r="J28" s="16">
        <f t="shared" si="4"/>
        <v>-16000</v>
      </c>
      <c r="K28" s="16">
        <f t="shared" si="4"/>
        <v>-14500</v>
      </c>
      <c r="L28" s="16">
        <f t="shared" si="4"/>
        <v>-12000</v>
      </c>
      <c r="M28" s="16">
        <f t="shared" si="4"/>
        <v>-7000</v>
      </c>
      <c r="N28" s="16">
        <f>SUM(B28:M28)</f>
        <v>27400</v>
      </c>
    </row>
    <row r="29" spans="1:14" x14ac:dyDescent="0.3">
      <c r="A29" s="21" t="s">
        <v>75</v>
      </c>
      <c r="B29" s="22">
        <f t="shared" ref="B29:M29" si="5">B5+B28</f>
        <v>218000</v>
      </c>
      <c r="C29" s="22">
        <f t="shared" si="5"/>
        <v>191000</v>
      </c>
      <c r="D29" s="22">
        <f t="shared" si="5"/>
        <v>174000</v>
      </c>
      <c r="E29" s="22">
        <f t="shared" si="5"/>
        <v>155800</v>
      </c>
      <c r="F29" s="22">
        <f t="shared" si="5"/>
        <v>137600</v>
      </c>
      <c r="G29" s="22">
        <f t="shared" si="5"/>
        <v>118900</v>
      </c>
      <c r="H29" s="22">
        <f t="shared" si="5"/>
        <v>99400</v>
      </c>
      <c r="I29" s="22">
        <f t="shared" si="5"/>
        <v>81900</v>
      </c>
      <c r="J29" s="22">
        <f t="shared" si="5"/>
        <v>65900</v>
      </c>
      <c r="K29" s="22">
        <f t="shared" si="5"/>
        <v>51400</v>
      </c>
      <c r="L29" s="22">
        <f t="shared" si="5"/>
        <v>39400</v>
      </c>
      <c r="M29" s="22">
        <f t="shared" si="5"/>
        <v>32400</v>
      </c>
      <c r="N29" s="22">
        <f>M29</f>
        <v>32400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showGridLines="0" workbookViewId="0"/>
  </sheetViews>
  <sheetFormatPr defaultRowHeight="14.4" x14ac:dyDescent="0.3"/>
  <cols>
    <col min="1" max="1" width="44" customWidth="1"/>
    <col min="2" max="2" width="18" customWidth="1"/>
    <col min="3" max="3" width="12" customWidth="1"/>
  </cols>
  <sheetData>
    <row r="1" spans="1:3" ht="21" x14ac:dyDescent="0.4">
      <c r="A1" s="1" t="s">
        <v>76</v>
      </c>
    </row>
    <row r="2" spans="1:3" x14ac:dyDescent="0.3">
      <c r="A2" s="3" t="s">
        <v>77</v>
      </c>
    </row>
    <row r="4" spans="1:3" x14ac:dyDescent="0.3">
      <c r="A4" s="4" t="s">
        <v>78</v>
      </c>
      <c r="B4" s="5"/>
      <c r="C4" s="5"/>
    </row>
    <row r="5" spans="1:3" x14ac:dyDescent="0.3">
      <c r="A5" s="6" t="s">
        <v>79</v>
      </c>
      <c r="B5" s="23">
        <f>'Cash Flow'!N8</f>
        <v>250000</v>
      </c>
    </row>
    <row r="6" spans="1:3" x14ac:dyDescent="0.3">
      <c r="A6" s="6" t="s">
        <v>80</v>
      </c>
      <c r="B6" s="23">
        <f>'Cash Flow'!N9</f>
        <v>36500</v>
      </c>
    </row>
    <row r="7" spans="1:3" x14ac:dyDescent="0.3">
      <c r="A7" s="6" t="s">
        <v>81</v>
      </c>
      <c r="B7" s="15">
        <f>Assumptions!B6</f>
        <v>5000</v>
      </c>
    </row>
    <row r="8" spans="1:3" x14ac:dyDescent="0.3">
      <c r="A8" s="19" t="s">
        <v>82</v>
      </c>
      <c r="B8" s="24">
        <f>B5+B6+B7</f>
        <v>291500</v>
      </c>
    </row>
    <row r="10" spans="1:3" x14ac:dyDescent="0.3">
      <c r="A10" s="4" t="s">
        <v>83</v>
      </c>
      <c r="B10" s="5"/>
      <c r="C10" s="5"/>
    </row>
    <row r="11" spans="1:3" x14ac:dyDescent="0.3">
      <c r="A11" s="6" t="s">
        <v>84</v>
      </c>
      <c r="B11" s="23">
        <f>'Cash Flow'!N13+'Cash Flow'!N14</f>
        <v>108000</v>
      </c>
      <c r="C11" s="25">
        <f>B11/$B$17</f>
        <v>0.41682747973755307</v>
      </c>
    </row>
    <row r="12" spans="1:3" x14ac:dyDescent="0.3">
      <c r="A12" s="6" t="s">
        <v>85</v>
      </c>
      <c r="B12" s="15">
        <f>SUM('Cash Flow'!N15:N17)</f>
        <v>30900</v>
      </c>
      <c r="C12" s="25">
        <f>B12/$B$17</f>
        <v>0.11925897336935547</v>
      </c>
    </row>
    <row r="13" spans="1:3" x14ac:dyDescent="0.3">
      <c r="A13" s="6" t="s">
        <v>86</v>
      </c>
      <c r="B13" s="15">
        <f>SUM('Cash Flow'!N18:N19)</f>
        <v>68100</v>
      </c>
      <c r="C13" s="25">
        <f>B13/$B$17</f>
        <v>0.26283288305673486</v>
      </c>
    </row>
    <row r="14" spans="1:3" x14ac:dyDescent="0.3">
      <c r="A14" s="6" t="s">
        <v>87</v>
      </c>
      <c r="B14" s="15">
        <f>SUM('Cash Flow'!N20:N21)</f>
        <v>21600</v>
      </c>
      <c r="C14" s="25">
        <f>B14/$B$17</f>
        <v>8.3365495947510609E-2</v>
      </c>
    </row>
    <row r="15" spans="1:3" x14ac:dyDescent="0.3">
      <c r="A15" s="6" t="s">
        <v>88</v>
      </c>
      <c r="B15" s="15">
        <f>SUM('Cash Flow'!N22:N25)</f>
        <v>30500</v>
      </c>
      <c r="C15" s="25">
        <f>B15/$B$17</f>
        <v>0.11771516788884601</v>
      </c>
    </row>
    <row r="17" spans="1:3" x14ac:dyDescent="0.3">
      <c r="A17" s="19" t="s">
        <v>89</v>
      </c>
      <c r="B17" s="26">
        <f>'Cash Flow'!N26</f>
        <v>259100</v>
      </c>
      <c r="C17" s="27">
        <f>B17/B17</f>
        <v>1</v>
      </c>
    </row>
    <row r="19" spans="1:3" x14ac:dyDescent="0.3">
      <c r="A19" s="4" t="s">
        <v>90</v>
      </c>
      <c r="B19" s="5"/>
      <c r="C19" s="5"/>
    </row>
    <row r="20" spans="1:3" x14ac:dyDescent="0.3">
      <c r="A20" s="13" t="s">
        <v>91</v>
      </c>
      <c r="B20" s="14">
        <f>'Cash Flow'!M29</f>
        <v>32400</v>
      </c>
    </row>
    <row r="21" spans="1:3" x14ac:dyDescent="0.3">
      <c r="A21" s="6" t="s">
        <v>92</v>
      </c>
      <c r="B21" s="15">
        <f>MIN('Cash Flow'!B29:M29)</f>
        <v>32400</v>
      </c>
    </row>
    <row r="22" spans="1:3" x14ac:dyDescent="0.3">
      <c r="A22" s="6" t="s">
        <v>93</v>
      </c>
      <c r="B22" s="23">
        <f>'Cash Flow'!N26</f>
        <v>259100</v>
      </c>
    </row>
    <row r="23" spans="1:3" x14ac:dyDescent="0.3">
      <c r="A23" s="6" t="s">
        <v>94</v>
      </c>
      <c r="B23" s="28">
        <f>'Cash Flow'!N9/'Cash Flow'!N26</f>
        <v>0.14087225009648785</v>
      </c>
    </row>
    <row r="25" spans="1:3" x14ac:dyDescent="0.3">
      <c r="A25" s="8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Cash Flow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Tshepo Wayne Moyo</cp:lastModifiedBy>
  <dcterms:created xsi:type="dcterms:W3CDTF">2026-06-13T22:48:11Z</dcterms:created>
  <dcterms:modified xsi:type="dcterms:W3CDTF">2026-06-13T22:49:10Z</dcterms:modified>
</cp:coreProperties>
</file>